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T´s con LAA de OCEN\AA pts con descargo último año\"/>
    </mc:Choice>
  </mc:AlternateContent>
  <xr:revisionPtr revIDLastSave="0" documentId="13_ncr:1_{A7DD25B3-B9D1-42ED-96EB-B7296ABFE1E3}" xr6:coauthVersionLast="47" xr6:coauthVersionMax="47" xr10:uidLastSave="{00000000-0000-0000-0000-000000000000}"/>
  <bookViews>
    <workbookView xWindow="28680" yWindow="-120" windowWidth="25440" windowHeight="15390" xr2:uid="{BB8ECDAC-A49B-4CCE-B66D-6B32FBB39DBF}"/>
  </bookViews>
  <sheets>
    <sheet name="LAA OCEN" sheetId="4" r:id="rId1"/>
    <sheet name="Conversión gade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2" l="1"/>
  <c r="T6" i="2"/>
  <c r="T7" i="2"/>
  <c r="T8" i="2"/>
  <c r="T9" i="2"/>
  <c r="T10" i="2"/>
  <c r="T11" i="2"/>
  <c r="T12" i="2"/>
  <c r="T13" i="2"/>
  <c r="T14" i="2"/>
  <c r="T15" i="2"/>
  <c r="T16" i="2"/>
  <c r="T17" i="2"/>
  <c r="T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4" i="2"/>
  <c r="I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437BFF-462E-46F5-8582-D2A47194257A}" keepAlive="1" name="Consulta - Acciones de aislamiento" description="Conexión a la consulta 'Acciones de aislamiento' en el libro." type="5" refreshedVersion="7" background="1">
    <dbPr connection="Provider=Microsoft.Mashup.OleDb.1;Data Source=$Workbook$;Location=&quot;Acciones de aislamiento&quot;;Extended Properties=&quot;&quot;" command="SELECT * FROM [Acciones de aislamiento]"/>
  </connection>
  <connection id="2" xr16:uid="{DED3F4A3-5F53-4310-A631-200C64109EFD}" keepAlive="1" name="Consulta - Acciones de aislamiento (2)" description="Conexión a la consulta 'Acciones de aislamiento (2)' en el libro." type="5" refreshedVersion="7" background="1">
    <dbPr connection="Provider=Microsoft.Mashup.OleDb.1;Data Source=$Workbook$;Location=&quot;Acciones de aislamiento (2)&quot;;Extended Properties=&quot;&quot;" command="SELECT * FROM [Acciones de aislamiento (2)]"/>
  </connection>
  <connection id="3" xr16:uid="{9739B260-7849-4769-844A-646C2BA8FEAD}" keepAlive="1" name="Consulta - Acciones de aislamiento (3)" description="Conexión a la consulta 'Acciones de aislamiento (3)' en el libro." type="5" refreshedVersion="0" background="1">
    <dbPr connection="Provider=Microsoft.Mashup.OleDb.1;Data Source=$Workbook$;Location=&quot;Acciones de aislamiento (3)&quot;;Extended Properties=&quot;&quot;" command="SELECT * FROM [Acciones de aislamiento (3)]"/>
  </connection>
</connections>
</file>

<file path=xl/sharedStrings.xml><?xml version="1.0" encoding="utf-8"?>
<sst xmlns="http://schemas.openxmlformats.org/spreadsheetml/2006/main" count="208" uniqueCount="53">
  <si>
    <t>TP</t>
  </si>
  <si>
    <t>Objeto técnico</t>
  </si>
  <si>
    <t>Texto breve</t>
  </si>
  <si>
    <t>GD</t>
  </si>
  <si>
    <t>CO señal.</t>
  </si>
  <si>
    <t>SecDes</t>
  </si>
  <si>
    <t>CondONormal</t>
  </si>
  <si>
    <t>SecNor</t>
  </si>
  <si>
    <t>BQ</t>
  </si>
  <si>
    <t>ES</t>
  </si>
  <si>
    <t>FIEtSe</t>
  </si>
  <si>
    <t>Comentario de desconexión</t>
  </si>
  <si>
    <t>Lugar señalización/normalización</t>
  </si>
  <si>
    <t>CR</t>
  </si>
  <si>
    <t>AB</t>
  </si>
  <si>
    <t>AB OFF</t>
  </si>
  <si>
    <t>CR ON</t>
  </si>
  <si>
    <t>EX</t>
  </si>
  <si>
    <t>SECUENCIA EJECUCIÓN</t>
  </si>
  <si>
    <t>PREP. PARA LA PRUEBA</t>
  </si>
  <si>
    <t>VUELTA AL DESCARGO</t>
  </si>
  <si>
    <t>SECUENCIA LEVANTAMIENTO</t>
  </si>
  <si>
    <t>Orden Sí</t>
  </si>
  <si>
    <t>Válvula</t>
  </si>
  <si>
    <t>Interruptor Seccionador</t>
  </si>
  <si>
    <t>Otros</t>
  </si>
  <si>
    <t>Agente de descargo</t>
  </si>
  <si>
    <t>Hecho en InGEN Mobile</t>
  </si>
  <si>
    <t>Verificado en InGEN Mobile</t>
  </si>
  <si>
    <t>Fecha de Ejecución</t>
  </si>
  <si>
    <t>Tipo</t>
  </si>
  <si>
    <t>Nº Tarj.</t>
  </si>
  <si>
    <t>N Candado</t>
  </si>
  <si>
    <t>Comp.(KKS/MNS/…)</t>
  </si>
  <si>
    <t>Nombre de Equipo</t>
  </si>
  <si>
    <t>Sec.</t>
  </si>
  <si>
    <t xml:space="preserve">BL </t>
  </si>
  <si>
    <t>Observaciones</t>
  </si>
  <si>
    <t>Activa</t>
  </si>
  <si>
    <t>BL</t>
  </si>
  <si>
    <t>IN</t>
  </si>
  <si>
    <t>PAT</t>
  </si>
  <si>
    <t>Sec</t>
  </si>
  <si>
    <t>T</t>
  </si>
  <si>
    <t>0</t>
  </si>
  <si>
    <t>CO2</t>
  </si>
  <si>
    <t>Sistema de CO2 PCI</t>
  </si>
  <si>
    <t>1</t>
  </si>
  <si>
    <t>PCIVAM0005</t>
  </si>
  <si>
    <t>Vlv aislm línea salida tanque CO2 sistema PCI</t>
  </si>
  <si>
    <t>2</t>
  </si>
  <si>
    <t>V-Piloto CO2</t>
  </si>
  <si>
    <t>Válvula Piloto 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</si>
</sst>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rgb="FF6A6D70"/>
      <name val="Arial"/>
      <family val="2"/>
    </font>
    <font>
      <sz val="11"/>
      <color rgb="FF32363A"/>
      <name val="Arial"/>
      <family val="2"/>
    </font>
    <font>
      <sz val="9.6"/>
      <color rgb="FF32363A"/>
      <name val="Inherit"/>
    </font>
    <font>
      <u/>
      <sz val="9.6"/>
      <color rgb="FF32363A"/>
      <name val="Inherit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rgb="FFD9D9D9"/>
      </top>
      <bottom style="medium">
        <color rgb="FFE4E4E4"/>
      </bottom>
      <diagonal/>
    </border>
    <border>
      <left style="medium">
        <color rgb="FFE4E4E4"/>
      </left>
      <right/>
      <top style="medium">
        <color rgb="FFE4E4E4"/>
      </top>
      <bottom style="medium">
        <color rgb="FFE4E4E4"/>
      </bottom>
      <diagonal/>
    </border>
    <border>
      <left/>
      <right style="medium">
        <color rgb="FFE4E4E4"/>
      </right>
      <top style="medium">
        <color rgb="FFE4E4E4"/>
      </top>
      <bottom style="medium">
        <color rgb="FFE4E4E4"/>
      </bottom>
      <diagonal/>
    </border>
    <border>
      <left style="medium">
        <color rgb="FFE4E4E4"/>
      </left>
      <right/>
      <top/>
      <bottom/>
      <diagonal/>
    </border>
    <border>
      <left/>
      <right/>
      <top style="medium">
        <color rgb="FFE4E4E4"/>
      </top>
      <bottom style="medium">
        <color rgb="FFE4E4E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78C13-248E-4EF5-A0D0-A3D1D9780834}">
  <dimension ref="A1:BP8"/>
  <sheetViews>
    <sheetView tabSelected="1" workbookViewId="0">
      <selection activeCell="H12" sqref="H12"/>
    </sheetView>
  </sheetViews>
  <sheetFormatPr baseColWidth="10" defaultRowHeight="15"/>
  <cols>
    <col min="1" max="1" width="5.85546875" customWidth="1"/>
    <col min="2" max="2" width="4.5703125" customWidth="1"/>
    <col min="4" max="4" width="19.28515625" customWidth="1"/>
    <col min="5" max="5" width="24.85546875" customWidth="1"/>
    <col min="6" max="6" width="8.5703125" customWidth="1"/>
    <col min="7" max="7" width="9.28515625" customWidth="1"/>
    <col min="15" max="15" width="2.140625" customWidth="1"/>
  </cols>
  <sheetData>
    <row r="1" spans="1:68">
      <c r="F1" s="18" t="s">
        <v>18</v>
      </c>
      <c r="G1" s="18"/>
      <c r="H1" s="18"/>
      <c r="I1" s="18"/>
      <c r="J1" s="18"/>
      <c r="K1" s="18"/>
      <c r="L1" s="18"/>
      <c r="M1" s="18"/>
      <c r="N1" s="18"/>
      <c r="O1" s="18"/>
      <c r="P1" s="18"/>
      <c r="W1" t="s">
        <v>19</v>
      </c>
      <c r="AM1" t="s">
        <v>20</v>
      </c>
      <c r="BC1" t="s">
        <v>21</v>
      </c>
    </row>
    <row r="3" spans="1:68">
      <c r="F3" t="s">
        <v>22</v>
      </c>
      <c r="G3" s="18" t="s">
        <v>23</v>
      </c>
      <c r="H3" s="18"/>
      <c r="I3" s="18"/>
      <c r="J3" s="18" t="s">
        <v>24</v>
      </c>
      <c r="K3" s="18"/>
      <c r="L3" s="18"/>
      <c r="M3" s="18"/>
      <c r="N3" s="18"/>
      <c r="P3" t="s">
        <v>25</v>
      </c>
      <c r="R3" t="s">
        <v>26</v>
      </c>
      <c r="S3" t="s">
        <v>27</v>
      </c>
      <c r="T3" t="s">
        <v>28</v>
      </c>
      <c r="U3" t="s">
        <v>29</v>
      </c>
      <c r="X3" t="s">
        <v>22</v>
      </c>
      <c r="Y3" t="s">
        <v>23</v>
      </c>
      <c r="AB3" t="s">
        <v>24</v>
      </c>
      <c r="AI3" t="s">
        <v>25</v>
      </c>
      <c r="AJ3" t="s">
        <v>26</v>
      </c>
      <c r="AK3" t="s">
        <v>27</v>
      </c>
      <c r="AL3" t="s">
        <v>29</v>
      </c>
      <c r="AM3" t="s">
        <v>22</v>
      </c>
      <c r="AN3" t="s">
        <v>23</v>
      </c>
      <c r="AQ3" t="s">
        <v>24</v>
      </c>
      <c r="AX3" t="s">
        <v>25</v>
      </c>
      <c r="AZ3" t="s">
        <v>26</v>
      </c>
      <c r="BA3" t="s">
        <v>27</v>
      </c>
      <c r="BB3" t="s">
        <v>29</v>
      </c>
      <c r="BC3" t="s">
        <v>22</v>
      </c>
      <c r="BD3" t="s">
        <v>23</v>
      </c>
      <c r="BG3" t="s">
        <v>24</v>
      </c>
      <c r="BL3" t="s">
        <v>25</v>
      </c>
      <c r="BN3" t="s">
        <v>26</v>
      </c>
      <c r="BO3" t="s">
        <v>27</v>
      </c>
      <c r="BP3" t="s">
        <v>29</v>
      </c>
    </row>
    <row r="5" spans="1:68">
      <c r="A5" t="s">
        <v>30</v>
      </c>
      <c r="B5" t="s">
        <v>31</v>
      </c>
      <c r="C5" t="s">
        <v>32</v>
      </c>
      <c r="D5" t="s">
        <v>33</v>
      </c>
      <c r="E5" t="s">
        <v>34</v>
      </c>
      <c r="F5" t="s">
        <v>35</v>
      </c>
      <c r="G5" t="s">
        <v>14</v>
      </c>
      <c r="H5" t="s">
        <v>13</v>
      </c>
      <c r="I5" t="s">
        <v>36</v>
      </c>
      <c r="J5" t="s">
        <v>15</v>
      </c>
      <c r="K5" t="s">
        <v>16</v>
      </c>
      <c r="L5" t="s">
        <v>17</v>
      </c>
      <c r="M5" t="s">
        <v>41</v>
      </c>
      <c r="N5" t="s">
        <v>36</v>
      </c>
      <c r="V5" t="s">
        <v>37</v>
      </c>
      <c r="W5" t="s">
        <v>38</v>
      </c>
      <c r="X5" t="s">
        <v>35</v>
      </c>
      <c r="Y5" t="s">
        <v>39</v>
      </c>
      <c r="Z5" t="s">
        <v>14</v>
      </c>
      <c r="AA5" t="s">
        <v>13</v>
      </c>
      <c r="AB5" t="s">
        <v>39</v>
      </c>
      <c r="AC5" t="s">
        <v>40</v>
      </c>
      <c r="AD5" t="s">
        <v>40</v>
      </c>
      <c r="AE5" t="s">
        <v>16</v>
      </c>
      <c r="AF5" t="s">
        <v>15</v>
      </c>
      <c r="AG5" t="s">
        <v>41</v>
      </c>
      <c r="AM5" t="s">
        <v>35</v>
      </c>
      <c r="AN5" t="s">
        <v>14</v>
      </c>
      <c r="AO5" t="s">
        <v>13</v>
      </c>
      <c r="AP5" t="s">
        <v>39</v>
      </c>
      <c r="AQ5" t="s">
        <v>15</v>
      </c>
      <c r="AR5" t="s">
        <v>16</v>
      </c>
      <c r="AS5" t="s">
        <v>40</v>
      </c>
      <c r="AT5" t="s">
        <v>17</v>
      </c>
      <c r="AU5" t="s">
        <v>41</v>
      </c>
      <c r="AV5" t="s">
        <v>39</v>
      </c>
      <c r="BC5" t="s">
        <v>42</v>
      </c>
      <c r="BD5" t="s">
        <v>39</v>
      </c>
      <c r="BE5" t="s">
        <v>14</v>
      </c>
      <c r="BF5" t="s">
        <v>13</v>
      </c>
      <c r="BG5" t="s">
        <v>36</v>
      </c>
      <c r="BH5" t="s">
        <v>40</v>
      </c>
      <c r="BI5" t="s">
        <v>16</v>
      </c>
      <c r="BJ5" t="s">
        <v>15</v>
      </c>
      <c r="BK5" t="s">
        <v>41</v>
      </c>
    </row>
    <row r="6" spans="1:68">
      <c r="A6" t="s">
        <v>43</v>
      </c>
      <c r="B6" t="s">
        <v>44</v>
      </c>
      <c r="D6" t="s">
        <v>45</v>
      </c>
      <c r="E6" t="s">
        <v>46</v>
      </c>
      <c r="F6">
        <v>3</v>
      </c>
      <c r="G6" t="s">
        <v>44</v>
      </c>
      <c r="H6" t="s">
        <v>44</v>
      </c>
      <c r="I6" t="s">
        <v>44</v>
      </c>
      <c r="J6" t="s">
        <v>44</v>
      </c>
      <c r="K6" t="s">
        <v>44</v>
      </c>
      <c r="L6" t="s">
        <v>44</v>
      </c>
      <c r="M6" t="s">
        <v>44</v>
      </c>
      <c r="N6" t="s">
        <v>44</v>
      </c>
      <c r="W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44</v>
      </c>
      <c r="AF6" t="s">
        <v>44</v>
      </c>
      <c r="AG6" t="s">
        <v>44</v>
      </c>
      <c r="AN6" t="s">
        <v>44</v>
      </c>
      <c r="AO6" t="s">
        <v>44</v>
      </c>
      <c r="AP6" t="s">
        <v>44</v>
      </c>
      <c r="AQ6" t="s">
        <v>44</v>
      </c>
      <c r="AR6" t="s">
        <v>44</v>
      </c>
      <c r="AS6" t="s">
        <v>44</v>
      </c>
      <c r="AT6" t="s">
        <v>44</v>
      </c>
      <c r="AU6" t="s">
        <v>44</v>
      </c>
      <c r="AV6" t="s">
        <v>44</v>
      </c>
      <c r="BC6">
        <v>3</v>
      </c>
      <c r="BD6" t="s">
        <v>44</v>
      </c>
      <c r="BE6" t="s">
        <v>44</v>
      </c>
      <c r="BF6" t="s">
        <v>44</v>
      </c>
      <c r="BG6" t="s">
        <v>44</v>
      </c>
      <c r="BH6" t="s">
        <v>44</v>
      </c>
      <c r="BI6" t="s">
        <v>44</v>
      </c>
      <c r="BJ6" t="s">
        <v>44</v>
      </c>
      <c r="BK6" t="s">
        <v>44</v>
      </c>
    </row>
    <row r="7" spans="1:68">
      <c r="A7" t="s">
        <v>43</v>
      </c>
      <c r="B7" t="s">
        <v>47</v>
      </c>
      <c r="D7" t="s">
        <v>48</v>
      </c>
      <c r="E7" t="s">
        <v>49</v>
      </c>
      <c r="F7">
        <v>1</v>
      </c>
      <c r="G7" t="s">
        <v>44</v>
      </c>
      <c r="H7" t="s">
        <v>47</v>
      </c>
      <c r="I7" t="s">
        <v>47</v>
      </c>
      <c r="J7" t="s">
        <v>44</v>
      </c>
      <c r="K7" t="s">
        <v>44</v>
      </c>
      <c r="L7" t="s">
        <v>44</v>
      </c>
      <c r="M7" t="s">
        <v>44</v>
      </c>
      <c r="N7" t="s">
        <v>44</v>
      </c>
      <c r="W7" t="s">
        <v>44</v>
      </c>
      <c r="Y7" t="s">
        <v>44</v>
      </c>
      <c r="Z7" t="s">
        <v>44</v>
      </c>
      <c r="AA7" t="s">
        <v>44</v>
      </c>
      <c r="AB7" t="s">
        <v>44</v>
      </c>
      <c r="AC7" t="s">
        <v>44</v>
      </c>
      <c r="AD7" t="s">
        <v>44</v>
      </c>
      <c r="AE7" t="s">
        <v>44</v>
      </c>
      <c r="AF7" t="s">
        <v>44</v>
      </c>
      <c r="AG7" t="s">
        <v>44</v>
      </c>
      <c r="AN7" t="s">
        <v>44</v>
      </c>
      <c r="AO7" t="s">
        <v>44</v>
      </c>
      <c r="AP7" t="s">
        <v>44</v>
      </c>
      <c r="AQ7" t="s">
        <v>44</v>
      </c>
      <c r="AR7" t="s">
        <v>44</v>
      </c>
      <c r="AS7" t="s">
        <v>44</v>
      </c>
      <c r="AT7" t="s">
        <v>44</v>
      </c>
      <c r="AU7" t="s">
        <v>44</v>
      </c>
      <c r="AV7" t="s">
        <v>44</v>
      </c>
      <c r="BC7">
        <v>2</v>
      </c>
      <c r="BD7" t="s">
        <v>44</v>
      </c>
      <c r="BE7" t="s">
        <v>47</v>
      </c>
      <c r="BF7" t="s">
        <v>44</v>
      </c>
      <c r="BG7" t="s">
        <v>44</v>
      </c>
      <c r="BH7" t="s">
        <v>44</v>
      </c>
      <c r="BI7" t="s">
        <v>44</v>
      </c>
      <c r="BJ7" t="s">
        <v>44</v>
      </c>
      <c r="BK7" t="s">
        <v>44</v>
      </c>
    </row>
    <row r="8" spans="1:68">
      <c r="A8" t="s">
        <v>43</v>
      </c>
      <c r="B8" t="s">
        <v>50</v>
      </c>
      <c r="D8" t="s">
        <v>51</v>
      </c>
      <c r="E8" t="s">
        <v>52</v>
      </c>
      <c r="F8">
        <v>2</v>
      </c>
      <c r="G8" t="s">
        <v>44</v>
      </c>
      <c r="H8" t="s">
        <v>47</v>
      </c>
      <c r="I8" t="s">
        <v>47</v>
      </c>
      <c r="J8" t="s">
        <v>44</v>
      </c>
      <c r="K8" t="s">
        <v>44</v>
      </c>
      <c r="L8" t="s">
        <v>44</v>
      </c>
      <c r="M8" t="s">
        <v>44</v>
      </c>
      <c r="N8" t="s">
        <v>44</v>
      </c>
      <c r="W8" t="s">
        <v>44</v>
      </c>
      <c r="Y8" t="s">
        <v>44</v>
      </c>
      <c r="Z8" t="s">
        <v>44</v>
      </c>
      <c r="AA8" t="s">
        <v>44</v>
      </c>
      <c r="AB8" t="s">
        <v>44</v>
      </c>
      <c r="AC8" t="s">
        <v>44</v>
      </c>
      <c r="AD8" t="s">
        <v>44</v>
      </c>
      <c r="AE8" t="s">
        <v>44</v>
      </c>
      <c r="AF8" t="s">
        <v>44</v>
      </c>
      <c r="AG8" t="s">
        <v>44</v>
      </c>
      <c r="AN8" t="s">
        <v>44</v>
      </c>
      <c r="AO8" t="s">
        <v>44</v>
      </c>
      <c r="AP8" t="s">
        <v>44</v>
      </c>
      <c r="AQ8" t="s">
        <v>44</v>
      </c>
      <c r="AR8" t="s">
        <v>44</v>
      </c>
      <c r="AS8" t="s">
        <v>44</v>
      </c>
      <c r="AT8" t="s">
        <v>44</v>
      </c>
      <c r="AU8" t="s">
        <v>44</v>
      </c>
      <c r="AV8" t="s">
        <v>44</v>
      </c>
      <c r="BC8">
        <v>1</v>
      </c>
      <c r="BD8" t="s">
        <v>44</v>
      </c>
      <c r="BE8" t="s">
        <v>47</v>
      </c>
      <c r="BF8" t="s">
        <v>44</v>
      </c>
      <c r="BG8" t="s">
        <v>44</v>
      </c>
      <c r="BH8" t="s">
        <v>44</v>
      </c>
      <c r="BI8" t="s">
        <v>44</v>
      </c>
      <c r="BJ8" t="s">
        <v>44</v>
      </c>
      <c r="BK8" t="s">
        <v>44</v>
      </c>
    </row>
  </sheetData>
  <mergeCells count="3">
    <mergeCell ref="F1:P1"/>
    <mergeCell ref="G3:I3"/>
    <mergeCell ref="J3:N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F3099-3191-4A24-A87A-37C839A9093F}">
  <sheetPr codeName="Hoja4"/>
  <dimension ref="B2:V17"/>
  <sheetViews>
    <sheetView topLeftCell="C1" workbookViewId="0">
      <selection activeCell="T20" sqref="T20"/>
    </sheetView>
  </sheetViews>
  <sheetFormatPr baseColWidth="10" defaultRowHeight="15"/>
  <cols>
    <col min="8" max="8" width="12.28515625" bestFit="1" customWidth="1"/>
    <col min="21" max="21" width="30.28515625" customWidth="1"/>
  </cols>
  <sheetData>
    <row r="2" spans="2:22" ht="15.75" thickBot="1"/>
    <row r="3" spans="2:22" ht="15.75" thickBot="1">
      <c r="B3" s="1" t="s">
        <v>0</v>
      </c>
      <c r="C3" s="1" t="s">
        <v>1</v>
      </c>
      <c r="D3" s="2"/>
      <c r="E3" s="1" t="s">
        <v>2</v>
      </c>
      <c r="F3" s="2"/>
      <c r="G3" s="7"/>
      <c r="H3" s="1" t="s">
        <v>3</v>
      </c>
      <c r="I3" s="1" t="s">
        <v>4</v>
      </c>
      <c r="J3" s="10"/>
      <c r="K3" s="1" t="s">
        <v>5</v>
      </c>
      <c r="L3" s="10"/>
      <c r="M3" s="1" t="s">
        <v>6</v>
      </c>
      <c r="N3" s="10"/>
      <c r="O3" s="1" t="s">
        <v>7</v>
      </c>
      <c r="P3" s="10"/>
      <c r="Q3" s="1" t="s">
        <v>8</v>
      </c>
      <c r="R3" s="10"/>
      <c r="S3" s="1" t="s">
        <v>9</v>
      </c>
      <c r="T3" s="1" t="s">
        <v>10</v>
      </c>
      <c r="U3" s="1" t="s">
        <v>11</v>
      </c>
      <c r="V3" s="1" t="s">
        <v>12</v>
      </c>
    </row>
    <row r="4" spans="2:22" ht="15.75" thickBot="1">
      <c r="B4" s="6" t="str">
        <f>IF('LAA OCEN'!A7="T","N","")</f>
        <v>N</v>
      </c>
      <c r="C4" s="14" t="str">
        <f>IF('LAA OCEN'!D7=0,"",'LAA OCEN'!D7)</f>
        <v>PCIVAM0005</v>
      </c>
      <c r="D4" s="15"/>
      <c r="E4" s="16" t="str">
        <f>IF('LAA OCEN'!E7=0,"",'LAA OCEN'!E7)</f>
        <v>Vlv aislm línea salida tanque CO2 sistema PCI</v>
      </c>
      <c r="F4" s="17"/>
      <c r="G4" s="8"/>
      <c r="H4" s="4" t="str">
        <f>IF(ISTEXT('LAA OCEN'!G7)= TRUE, IF(CONCATENATE('LAA OCEN'!G7, 'LAA OCEN'!H7, 'LAA OCEN'!I7) = "000", IF(CONCATENATE('LAA OCEN'!J7, 'LAA OCEN'!K7, 'LAA OCEN'!L7, 'LAA OCEN'!M7) = "0000", 0, "E"), "M"), "")</f>
        <v>M</v>
      </c>
      <c r="I4" s="4" t="str">
        <f>IF(CONCATENATE(1,'LAA OCEN'!G7,'LAA OCEN'!H7,'LAA OCEN'!J7,'LAA OCEN'!K7,'LAA OCEN'!L7)="100000","OTROS",IF(CONCATENATE(1,'LAA OCEN'!G7,'LAA OCEN'!H7,'LAA OCEN'!J7,'LAA OCEN'!K7,'LAA OCEN'!L7)="110000","AB",IF(CONCATENATE(1,'LAA OCEN'!G7,'LAA OCEN'!H7,'LAA OCEN'!J7,'LAA OCEN'!K7,'LAA OCEN'!L7)="101000","CR",IF(CONCATENATE(1,'LAA OCEN'!G7,'LAA OCEN'!H7,'LAA OCEN'!J7,'LAA OCEN'!K7,'LAA OCEN'!L7)="100010","CR-ON",IF(CONCATENATE(1,'LAA OCEN'!G7,'LAA OCEN'!H7,'LAA OCEN'!J7,'LAA OCEN'!K7,'LAA OCEN'!L7)="100100","AB-OFF",IF(CONCATENATE(1,'LAA OCEN'!G7,'LAA OCEN'!H7,'LAA OCEN'!J7,'LAA OCEN'!K7,'LAA OCEN'!L7)="100101","AB-OFF-EX",""))))))</f>
        <v>CR</v>
      </c>
      <c r="J4" s="11"/>
      <c r="K4" s="4">
        <f>IF('LAA OCEN'!F7=0,"",'LAA OCEN'!F7)</f>
        <v>1</v>
      </c>
      <c r="L4" s="11"/>
      <c r="M4" s="3" t="str">
        <f>IF(CONCATENATE(1,'LAA OCEN'!BE7,'LAA OCEN'!BF7,'LAA OCEN'!BH7,'LAA OCEN'!BI7,'LAA OCEN'!BJ7)="100000","OTROS",IF(CONCATENATE(1,'LAA OCEN'!BE7,'LAA OCEN'!BF7,'LAA OCEN'!BH7,'LAA OCEN'!BI7,'LAA OCEN'!BJ7)="110000","AB",IF(CONCATENATE(1,'LAA OCEN'!BE7,'LAA OCEN'!BF7,'LAA OCEN'!BH7,'LAA OCEN'!BI7,'LAA OCEN'!BJ7)="101000","CR",IF(CONCATENATE(1,'LAA OCEN'!BE7,'LAA OCEN'!BF7,'LAA OCEN'!BH7,'LAA OCEN'!BI7,'LAA OCEN'!BJ7)="100010","CR-ON",IF(CONCATENATE(1,'LAA OCEN'!BE7,'LAA OCEN'!BF7,'LAA OCEN'!BH7,'LAA OCEN'!BI7,'LAA OCEN'!BJ7)="100100","AB-OFF",IF(CONCATENATE(1,'LAA OCEN'!BE7,'LAA OCEN'!BF7,'LAA OCEN'!BH7,'LAA OCEN'!BI7,'LAA OCEN'!BJ7)="100101","AB-OFF-EX",""))))))</f>
        <v>AB</v>
      </c>
      <c r="N4" s="11"/>
      <c r="O4" s="3">
        <f>IF('LAA OCEN'!BC7=0,"",'LAA OCEN'!BC7)</f>
        <v>2</v>
      </c>
      <c r="P4" s="11"/>
      <c r="Q4" s="5" t="str">
        <f>IF('LAA OCEN'!I7+'LAA OCEN'!N7=1, "X", "")</f>
        <v>X</v>
      </c>
      <c r="R4" s="12"/>
      <c r="S4" s="5" t="str">
        <f>IF('LAA OCEN'!A7="T", "X", "")</f>
        <v>X</v>
      </c>
      <c r="T4" s="3" t="str">
        <f>IF(H4="M", "XXXM", IF(H4="E", "XXXX", ""))</f>
        <v>XXXM</v>
      </c>
      <c r="U4" s="3" t="str">
        <f>IF(ISTEXT('LAA OCEN'!P7) = TRUE, 'LAA OCEN'!P7, "")</f>
        <v/>
      </c>
      <c r="V4" s="9"/>
    </row>
    <row r="5" spans="2:22" ht="15.75" thickBot="1">
      <c r="B5" s="6" t="str">
        <f>IF('LAA OCEN'!A8="T","N","")</f>
        <v>N</v>
      </c>
      <c r="C5" s="14" t="str">
        <f>IF('LAA OCEN'!D8=0,"",'LAA OCEN'!D8)</f>
        <v>V-Piloto CO2</v>
      </c>
      <c r="D5" s="15"/>
      <c r="E5" s="16" t="str">
        <f>IF('LAA OCEN'!E8=0,"",'LAA OCEN'!E8)</f>
        <v>Válvula Piloto CO2</v>
      </c>
      <c r="F5" s="17"/>
      <c r="G5" s="8"/>
      <c r="H5" s="4" t="str">
        <f>IF(ISTEXT('LAA OCEN'!G8)= TRUE, IF(CONCATENATE('LAA OCEN'!G8, 'LAA OCEN'!H8, 'LAA OCEN'!I8) = "000", IF(CONCATENATE('LAA OCEN'!J8, 'LAA OCEN'!K8, 'LAA OCEN'!L8, 'LAA OCEN'!M8) = "0000", 0, "E"), "M"), "")</f>
        <v>M</v>
      </c>
      <c r="I5" s="4" t="str">
        <f>IF(CONCATENATE(1,'LAA OCEN'!G8,'LAA OCEN'!H8,'LAA OCEN'!J8,'LAA OCEN'!K8,'LAA OCEN'!L8)="100000","OTROS",IF(CONCATENATE(1,'LAA OCEN'!G8,'LAA OCEN'!H8,'LAA OCEN'!J8,'LAA OCEN'!K8,'LAA OCEN'!L8)="110000","AB",IF(CONCATENATE(1,'LAA OCEN'!G8,'LAA OCEN'!H8,'LAA OCEN'!J8,'LAA OCEN'!K8,'LAA OCEN'!L8)="101000","CR",IF(CONCATENATE(1,'LAA OCEN'!G8,'LAA OCEN'!H8,'LAA OCEN'!J8,'LAA OCEN'!K8,'LAA OCEN'!L8)="100010","CR-ON",IF(CONCATENATE(1,'LAA OCEN'!G8,'LAA OCEN'!H8,'LAA OCEN'!J8,'LAA OCEN'!K8,'LAA OCEN'!L8)="100100","AB-OFF",IF(CONCATENATE(1,'LAA OCEN'!G8,'LAA OCEN'!H8,'LAA OCEN'!J8,'LAA OCEN'!K8,'LAA OCEN'!L8)="100101","AB-OFF-EX",""))))))</f>
        <v>CR</v>
      </c>
      <c r="J5" s="11"/>
      <c r="K5" s="4">
        <f>IF('LAA OCEN'!F8=0,"",'LAA OCEN'!F8)</f>
        <v>2</v>
      </c>
      <c r="L5" s="11"/>
      <c r="M5" s="4" t="str">
        <f>IF(CONCATENATE(1,'LAA OCEN'!BE8,'LAA OCEN'!BF8,'LAA OCEN'!BH8,'LAA OCEN'!BI8,'LAA OCEN'!BJ8)="100000","OTROS",IF(CONCATENATE(1,'LAA OCEN'!BE8,'LAA OCEN'!BF8,'LAA OCEN'!BH8,'LAA OCEN'!BI8,'LAA OCEN'!BJ8)="110000","AB",IF(CONCATENATE(1,'LAA OCEN'!BE8,'LAA OCEN'!BF8,'LAA OCEN'!BH8,'LAA OCEN'!BI8,'LAA OCEN'!BJ8)="101000","CR",IF(CONCATENATE(1,'LAA OCEN'!BE8,'LAA OCEN'!BF8,'LAA OCEN'!BH8,'LAA OCEN'!BI8,'LAA OCEN'!BJ8)="100010","CR-ON",IF(CONCATENATE(1,'LAA OCEN'!BE8,'LAA OCEN'!BF8,'LAA OCEN'!BH8,'LAA OCEN'!BI8,'LAA OCEN'!BJ8)="100100","AB-OFF",IF(CONCATENATE(1,'LAA OCEN'!BE8,'LAA OCEN'!BF8,'LAA OCEN'!BH8,'LAA OCEN'!BI8,'LAA OCEN'!BJ8)="100101","AB-OFF-EX",""))))))</f>
        <v>AB</v>
      </c>
      <c r="N5" s="11"/>
      <c r="O5" s="4">
        <f>IF('LAA OCEN'!BC8=0,"",'LAA OCEN'!BC8)</f>
        <v>1</v>
      </c>
      <c r="P5" s="11"/>
      <c r="Q5" s="5" t="str">
        <f>IF('LAA OCEN'!I8+'LAA OCEN'!N8=1, "X", "")</f>
        <v>X</v>
      </c>
      <c r="R5" s="12"/>
      <c r="S5" s="5" t="str">
        <f>IF('LAA OCEN'!A8="T", "X", "")</f>
        <v>X</v>
      </c>
      <c r="T5" s="4" t="str">
        <f t="shared" ref="T5:T17" si="0">IF(H5="M", "XXXM", IF(H5="E", "XXXX", ""))</f>
        <v>XXXM</v>
      </c>
      <c r="U5" s="4" t="str">
        <f>IF(ISTEXT('LAA OCEN'!P8) = TRUE, 'LAA OCEN'!P8, "")</f>
        <v/>
      </c>
      <c r="V5" s="9"/>
    </row>
    <row r="6" spans="2:22" ht="15.75" thickBot="1">
      <c r="B6" s="6" t="str">
        <f>IF('LAA OCEN'!A9="T","N","")</f>
        <v/>
      </c>
      <c r="C6" s="14" t="str">
        <f>IF('LAA OCEN'!D9=0,"",'LAA OCEN'!D9)</f>
        <v/>
      </c>
      <c r="D6" s="15"/>
      <c r="E6" s="16" t="str">
        <f>IF('LAA OCEN'!E9=0,"",'LAA OCEN'!E9)</f>
        <v/>
      </c>
      <c r="F6" s="17"/>
      <c r="G6" s="8"/>
      <c r="H6" s="4" t="str">
        <f>IF(ISTEXT('LAA OCEN'!G9)= TRUE, IF(CONCATENATE('LAA OCEN'!G9, 'LAA OCEN'!H9, 'LAA OCEN'!I9) = "000", IF(CONCATENATE('LAA OCEN'!J9, 'LAA OCEN'!K9, 'LAA OCEN'!L9, 'LAA OCEN'!M9) = "0000", 0, "E"), "M"), "")</f>
        <v/>
      </c>
      <c r="I6" s="4" t="str">
        <f>IF(CONCATENATE(1,'LAA OCEN'!G9,'LAA OCEN'!H9,'LAA OCEN'!J9,'LAA OCEN'!K9,'LAA OCEN'!L9)="100000","OTROS",IF(CONCATENATE(1,'LAA OCEN'!G9,'LAA OCEN'!H9,'LAA OCEN'!J9,'LAA OCEN'!K9,'LAA OCEN'!L9)="110000","AB",IF(CONCATENATE(1,'LAA OCEN'!G9,'LAA OCEN'!H9,'LAA OCEN'!J9,'LAA OCEN'!K9,'LAA OCEN'!L9)="101000","CR",IF(CONCATENATE(1,'LAA OCEN'!G9,'LAA OCEN'!H9,'LAA OCEN'!J9,'LAA OCEN'!K9,'LAA OCEN'!L9)="100010","CR-ON",IF(CONCATENATE(1,'LAA OCEN'!G9,'LAA OCEN'!H9,'LAA OCEN'!J9,'LAA OCEN'!K9,'LAA OCEN'!L9)="100100","AB-OFF",IF(CONCATENATE(1,'LAA OCEN'!G9,'LAA OCEN'!H9,'LAA OCEN'!J9,'LAA OCEN'!K9,'LAA OCEN'!L9)="100101","AB-OFF-EX",""))))))</f>
        <v/>
      </c>
      <c r="J6" s="11"/>
      <c r="K6" s="4" t="str">
        <f>IF('LAA OCEN'!F9=0,"",'LAA OCEN'!F9)</f>
        <v/>
      </c>
      <c r="L6" s="11"/>
      <c r="M6" s="4" t="str">
        <f>IF(CONCATENATE(1,'LAA OCEN'!BE9,'LAA OCEN'!BF9,'LAA OCEN'!BH9,'LAA OCEN'!BI9,'LAA OCEN'!BJ9)="100000","OTROS",IF(CONCATENATE(1,'LAA OCEN'!BE9,'LAA OCEN'!BF9,'LAA OCEN'!BH9,'LAA OCEN'!BI9,'LAA OCEN'!BJ9)="110000","AB",IF(CONCATENATE(1,'LAA OCEN'!BE9,'LAA OCEN'!BF9,'LAA OCEN'!BH9,'LAA OCEN'!BI9,'LAA OCEN'!BJ9)="101000","CR",IF(CONCATENATE(1,'LAA OCEN'!BE9,'LAA OCEN'!BF9,'LAA OCEN'!BH9,'LAA OCEN'!BI9,'LAA OCEN'!BJ9)="100010","CR-ON",IF(CONCATENATE(1,'LAA OCEN'!BE9,'LAA OCEN'!BF9,'LAA OCEN'!BH9,'LAA OCEN'!BI9,'LAA OCEN'!BJ9)="100100","AB-OFF",IF(CONCATENATE(1,'LAA OCEN'!BE9,'LAA OCEN'!BF9,'LAA OCEN'!BH9,'LAA OCEN'!BI9,'LAA OCEN'!BJ9)="100101","AB-OFF-EX",""))))))</f>
        <v/>
      </c>
      <c r="N6" s="11"/>
      <c r="O6" s="4" t="str">
        <f>IF('LAA OCEN'!BC9=0,"",'LAA OCEN'!BC9)</f>
        <v/>
      </c>
      <c r="P6" s="11"/>
      <c r="Q6" s="5" t="str">
        <f>IF('LAA OCEN'!I9+'LAA OCEN'!N9=1, "X", "")</f>
        <v/>
      </c>
      <c r="R6" s="12"/>
      <c r="S6" s="5" t="str">
        <f>IF('LAA OCEN'!A9="T", "X", "")</f>
        <v/>
      </c>
      <c r="T6" s="4" t="str">
        <f t="shared" si="0"/>
        <v/>
      </c>
      <c r="U6" s="4" t="str">
        <f>IF(ISTEXT('LAA OCEN'!P9) = TRUE, 'LAA OCEN'!P9, "")</f>
        <v/>
      </c>
      <c r="V6" s="9"/>
    </row>
    <row r="7" spans="2:22" ht="15.75" thickBot="1">
      <c r="B7" s="6" t="str">
        <f>IF('LAA OCEN'!A10="T","N","")</f>
        <v/>
      </c>
      <c r="C7" s="14" t="str">
        <f>IF('LAA OCEN'!D10=0,"",'LAA OCEN'!D10)</f>
        <v/>
      </c>
      <c r="D7" s="15"/>
      <c r="E7" s="16" t="str">
        <f>IF('LAA OCEN'!E10=0,"",'LAA OCEN'!E10)</f>
        <v/>
      </c>
      <c r="F7" s="17"/>
      <c r="G7" s="8"/>
      <c r="H7" s="4" t="str">
        <f>IF(ISTEXT('LAA OCEN'!G10)= TRUE, IF(CONCATENATE('LAA OCEN'!G10, 'LAA OCEN'!H10, 'LAA OCEN'!I10) = "000", IF(CONCATENATE('LAA OCEN'!J10, 'LAA OCEN'!K10, 'LAA OCEN'!L10, 'LAA OCEN'!M10) = "0000", 0, "E"), "M"), "")</f>
        <v/>
      </c>
      <c r="I7" s="4" t="str">
        <f>IF(CONCATENATE(1,'LAA OCEN'!G10,'LAA OCEN'!H10,'LAA OCEN'!J10,'LAA OCEN'!K10,'LAA OCEN'!L10)="100000","OTROS",IF(CONCATENATE(1,'LAA OCEN'!G10,'LAA OCEN'!H10,'LAA OCEN'!J10,'LAA OCEN'!K10,'LAA OCEN'!L10)="110000","AB",IF(CONCATENATE(1,'LAA OCEN'!G10,'LAA OCEN'!H10,'LAA OCEN'!J10,'LAA OCEN'!K10,'LAA OCEN'!L10)="101000","CR",IF(CONCATENATE(1,'LAA OCEN'!G10,'LAA OCEN'!H10,'LAA OCEN'!J10,'LAA OCEN'!K10,'LAA OCEN'!L10)="100010","CR-ON",IF(CONCATENATE(1,'LAA OCEN'!G10,'LAA OCEN'!H10,'LAA OCEN'!J10,'LAA OCEN'!K10,'LAA OCEN'!L10)="100100","AB-OFF",IF(CONCATENATE(1,'LAA OCEN'!G10,'LAA OCEN'!H10,'LAA OCEN'!J10,'LAA OCEN'!K10,'LAA OCEN'!L10)="100101","AB-OFF-EX",""))))))</f>
        <v/>
      </c>
      <c r="J7" s="11"/>
      <c r="K7" s="4" t="str">
        <f>IF('LAA OCEN'!F10=0,"",'LAA OCEN'!F10)</f>
        <v/>
      </c>
      <c r="L7" s="11"/>
      <c r="M7" s="4" t="str">
        <f>IF(CONCATENATE(1,'LAA OCEN'!BE10,'LAA OCEN'!BF10,'LAA OCEN'!BH10,'LAA OCEN'!BI10,'LAA OCEN'!BJ10)="100000","OTROS",IF(CONCATENATE(1,'LAA OCEN'!BE10,'LAA OCEN'!BF10,'LAA OCEN'!BH10,'LAA OCEN'!BI10,'LAA OCEN'!BJ10)="110000","AB",IF(CONCATENATE(1,'LAA OCEN'!BE10,'LAA OCEN'!BF10,'LAA OCEN'!BH10,'LAA OCEN'!BI10,'LAA OCEN'!BJ10)="101000","CR",IF(CONCATENATE(1,'LAA OCEN'!BE10,'LAA OCEN'!BF10,'LAA OCEN'!BH10,'LAA OCEN'!BI10,'LAA OCEN'!BJ10)="100010","CR-ON",IF(CONCATENATE(1,'LAA OCEN'!BE10,'LAA OCEN'!BF10,'LAA OCEN'!BH10,'LAA OCEN'!BI10,'LAA OCEN'!BJ10)="100100","AB-OFF",IF(CONCATENATE(1,'LAA OCEN'!BE10,'LAA OCEN'!BF10,'LAA OCEN'!BH10,'LAA OCEN'!BI10,'LAA OCEN'!BJ10)="100101","AB-OFF-EX",""))))))</f>
        <v/>
      </c>
      <c r="N7" s="11"/>
      <c r="O7" s="4" t="str">
        <f>IF('LAA OCEN'!BC10=0,"",'LAA OCEN'!BC10)</f>
        <v/>
      </c>
      <c r="P7" s="11"/>
      <c r="Q7" s="5" t="str">
        <f>IF('LAA OCEN'!I10+'LAA OCEN'!N10=1, "X", "")</f>
        <v/>
      </c>
      <c r="R7" s="12"/>
      <c r="S7" s="5" t="str">
        <f>IF('LAA OCEN'!A10="T", "X", "")</f>
        <v/>
      </c>
      <c r="T7" s="4" t="str">
        <f t="shared" si="0"/>
        <v/>
      </c>
      <c r="U7" s="4" t="str">
        <f>IF(ISTEXT('LAA OCEN'!P10) = TRUE, 'LAA OCEN'!P10, "")</f>
        <v/>
      </c>
      <c r="V7" s="9"/>
    </row>
    <row r="8" spans="2:22" ht="15.75" thickBot="1">
      <c r="B8" s="6" t="str">
        <f>IF('LAA OCEN'!A11="T","N","")</f>
        <v/>
      </c>
      <c r="C8" s="14" t="str">
        <f>IF('LAA OCEN'!D11=0,"",'LAA OCEN'!D11)</f>
        <v/>
      </c>
      <c r="D8" s="15"/>
      <c r="E8" s="16" t="str">
        <f>IF('LAA OCEN'!E11=0,"",'LAA OCEN'!E11)</f>
        <v/>
      </c>
      <c r="F8" s="17"/>
      <c r="G8" s="8"/>
      <c r="H8" s="4" t="str">
        <f>IF(ISTEXT('LAA OCEN'!G11)= TRUE, IF(CONCATENATE('LAA OCEN'!G11, 'LAA OCEN'!H11, 'LAA OCEN'!I11) = "000", IF(CONCATENATE('LAA OCEN'!J11, 'LAA OCEN'!K11, 'LAA OCEN'!L11, 'LAA OCEN'!M11) = "0000", 0, "E"), "M"), "")</f>
        <v/>
      </c>
      <c r="I8" s="4" t="str">
        <f>IF(CONCATENATE(1,'LAA OCEN'!G11,'LAA OCEN'!H11,'LAA OCEN'!J11,'LAA OCEN'!K11,'LAA OCEN'!L11)="100000","OTROS",IF(CONCATENATE(1,'LAA OCEN'!G11,'LAA OCEN'!H11,'LAA OCEN'!J11,'LAA OCEN'!K11,'LAA OCEN'!L11)="110000","AB",IF(CONCATENATE(1,'LAA OCEN'!G11,'LAA OCEN'!H11,'LAA OCEN'!J11,'LAA OCEN'!K11,'LAA OCEN'!L11)="101000","CR",IF(CONCATENATE(1,'LAA OCEN'!G11,'LAA OCEN'!H11,'LAA OCEN'!J11,'LAA OCEN'!K11,'LAA OCEN'!L11)="100010","CR-ON",IF(CONCATENATE(1,'LAA OCEN'!G11,'LAA OCEN'!H11,'LAA OCEN'!J11,'LAA OCEN'!K11,'LAA OCEN'!L11)="100100","AB-OFF",IF(CONCATENATE(1,'LAA OCEN'!G11,'LAA OCEN'!H11,'LAA OCEN'!J11,'LAA OCEN'!K11,'LAA OCEN'!L11)="100101","AB-OFF-EX",""))))))</f>
        <v/>
      </c>
      <c r="J8" s="11"/>
      <c r="K8" s="4" t="str">
        <f>IF('LAA OCEN'!F11=0,"",'LAA OCEN'!F11)</f>
        <v/>
      </c>
      <c r="L8" s="11"/>
      <c r="M8" s="4" t="str">
        <f>IF(CONCATENATE(1,'LAA OCEN'!BE11,'LAA OCEN'!BF11,'LAA OCEN'!BH11,'LAA OCEN'!BI11,'LAA OCEN'!BJ11)="100000","OTROS",IF(CONCATENATE(1,'LAA OCEN'!BE11,'LAA OCEN'!BF11,'LAA OCEN'!BH11,'LAA OCEN'!BI11,'LAA OCEN'!BJ11)="110000","AB",IF(CONCATENATE(1,'LAA OCEN'!BE11,'LAA OCEN'!BF11,'LAA OCEN'!BH11,'LAA OCEN'!BI11,'LAA OCEN'!BJ11)="101000","CR",IF(CONCATENATE(1,'LAA OCEN'!BE11,'LAA OCEN'!BF11,'LAA OCEN'!BH11,'LAA OCEN'!BI11,'LAA OCEN'!BJ11)="100010","CR-ON",IF(CONCATENATE(1,'LAA OCEN'!BE11,'LAA OCEN'!BF11,'LAA OCEN'!BH11,'LAA OCEN'!BI11,'LAA OCEN'!BJ11)="100100","AB-OFF",IF(CONCATENATE(1,'LAA OCEN'!BE11,'LAA OCEN'!BF11,'LAA OCEN'!BH11,'LAA OCEN'!BI11,'LAA OCEN'!BJ11)="100101","AB-OFF-EX",""))))))</f>
        <v/>
      </c>
      <c r="N8" s="11"/>
      <c r="O8" s="4" t="str">
        <f>IF('LAA OCEN'!BC11=0,"",'LAA OCEN'!BC11)</f>
        <v/>
      </c>
      <c r="P8" s="11"/>
      <c r="Q8" s="5" t="str">
        <f>IF('LAA OCEN'!I11+'LAA OCEN'!N11=1, "X", "")</f>
        <v/>
      </c>
      <c r="R8" s="12"/>
      <c r="S8" s="5" t="str">
        <f>IF('LAA OCEN'!A11="T", "X", "")</f>
        <v/>
      </c>
      <c r="T8" s="4" t="str">
        <f t="shared" si="0"/>
        <v/>
      </c>
      <c r="U8" s="4" t="str">
        <f>IF(ISTEXT('LAA OCEN'!P11) = TRUE, 'LAA OCEN'!P11, "")</f>
        <v/>
      </c>
      <c r="V8" s="9"/>
    </row>
    <row r="9" spans="2:22" ht="15.75" thickBot="1">
      <c r="B9" s="6" t="str">
        <f>IF('LAA OCEN'!A12="T","N","")</f>
        <v/>
      </c>
      <c r="C9" s="14" t="str">
        <f>IF('LAA OCEN'!D12=0,"",'LAA OCEN'!D12)</f>
        <v/>
      </c>
      <c r="D9" s="15"/>
      <c r="E9" s="16" t="str">
        <f>IF('LAA OCEN'!E12=0,"",'LAA OCEN'!E12)</f>
        <v/>
      </c>
      <c r="F9" s="17"/>
      <c r="G9" s="8"/>
      <c r="H9" s="4" t="str">
        <f>IF(ISTEXT('LAA OCEN'!G12)= TRUE, IF(CONCATENATE('LAA OCEN'!G12, 'LAA OCEN'!H12, 'LAA OCEN'!I12) = "000", IF(CONCATENATE('LAA OCEN'!J12, 'LAA OCEN'!K12, 'LAA OCEN'!L12, 'LAA OCEN'!M12) = "0000", 0, "E"), "M"), "")</f>
        <v/>
      </c>
      <c r="I9" s="4" t="str">
        <f>IF(CONCATENATE(1,'LAA OCEN'!G12,'LAA OCEN'!H12,'LAA OCEN'!J12,'LAA OCEN'!K12,'LAA OCEN'!L12)="100000","OTROS",IF(CONCATENATE(1,'LAA OCEN'!G12,'LAA OCEN'!H12,'LAA OCEN'!J12,'LAA OCEN'!K12,'LAA OCEN'!L12)="110000","AB",IF(CONCATENATE(1,'LAA OCEN'!G12,'LAA OCEN'!H12,'LAA OCEN'!J12,'LAA OCEN'!K12,'LAA OCEN'!L12)="101000","CR",IF(CONCATENATE(1,'LAA OCEN'!G12,'LAA OCEN'!H12,'LAA OCEN'!J12,'LAA OCEN'!K12,'LAA OCEN'!L12)="100010","CR-ON",IF(CONCATENATE(1,'LAA OCEN'!G12,'LAA OCEN'!H12,'LAA OCEN'!J12,'LAA OCEN'!K12,'LAA OCEN'!L12)="100100","AB-OFF",IF(CONCATENATE(1,'LAA OCEN'!G12,'LAA OCEN'!H12,'LAA OCEN'!J12,'LAA OCEN'!K12,'LAA OCEN'!L12)="100101","AB-OFF-EX",""))))))</f>
        <v/>
      </c>
      <c r="J9" s="11"/>
      <c r="K9" s="4" t="str">
        <f>IF('LAA OCEN'!F12=0,"",'LAA OCEN'!F12)</f>
        <v/>
      </c>
      <c r="L9" s="11"/>
      <c r="M9" s="4" t="str">
        <f>IF(CONCATENATE(1,'LAA OCEN'!BE12,'LAA OCEN'!BF12,'LAA OCEN'!BH12,'LAA OCEN'!BI12,'LAA OCEN'!BJ12)="100000","OTROS",IF(CONCATENATE(1,'LAA OCEN'!BE12,'LAA OCEN'!BF12,'LAA OCEN'!BH12,'LAA OCEN'!BI12,'LAA OCEN'!BJ12)="110000","AB",IF(CONCATENATE(1,'LAA OCEN'!BE12,'LAA OCEN'!BF12,'LAA OCEN'!BH12,'LAA OCEN'!BI12,'LAA OCEN'!BJ12)="101000","CR",IF(CONCATENATE(1,'LAA OCEN'!BE12,'LAA OCEN'!BF12,'LAA OCEN'!BH12,'LAA OCEN'!BI12,'LAA OCEN'!BJ12)="100010","CR-ON",IF(CONCATENATE(1,'LAA OCEN'!BE12,'LAA OCEN'!BF12,'LAA OCEN'!BH12,'LAA OCEN'!BI12,'LAA OCEN'!BJ12)="100100","AB-OFF",IF(CONCATENATE(1,'LAA OCEN'!BE12,'LAA OCEN'!BF12,'LAA OCEN'!BH12,'LAA OCEN'!BI12,'LAA OCEN'!BJ12)="100101","AB-OFF-EX",""))))))</f>
        <v/>
      </c>
      <c r="N9" s="11"/>
      <c r="O9" s="4" t="str">
        <f>IF('LAA OCEN'!BC12=0,"",'LAA OCEN'!BC12)</f>
        <v/>
      </c>
      <c r="P9" s="11"/>
      <c r="Q9" s="5" t="str">
        <f>IF('LAA OCEN'!I12+'LAA OCEN'!N12=1, "X", "")</f>
        <v/>
      </c>
      <c r="R9" s="12"/>
      <c r="S9" s="5" t="str">
        <f>IF('LAA OCEN'!A12="T", "X", "")</f>
        <v/>
      </c>
      <c r="T9" s="4" t="str">
        <f t="shared" si="0"/>
        <v/>
      </c>
      <c r="U9" s="4" t="str">
        <f>IF(ISTEXT('LAA OCEN'!P12) = TRUE, 'LAA OCEN'!P12, "")</f>
        <v/>
      </c>
      <c r="V9" s="9"/>
    </row>
    <row r="10" spans="2:22" ht="15.75" thickBot="1">
      <c r="B10" s="6" t="str">
        <f>IF('LAA OCEN'!A13="T","N","")</f>
        <v/>
      </c>
      <c r="C10" s="14" t="str">
        <f>IF('LAA OCEN'!D13=0,"",'LAA OCEN'!D13)</f>
        <v/>
      </c>
      <c r="D10" s="15"/>
      <c r="E10" s="16" t="str">
        <f>IF('LAA OCEN'!E13=0,"",'LAA OCEN'!E13)</f>
        <v/>
      </c>
      <c r="F10" s="17"/>
      <c r="G10" s="8"/>
      <c r="H10" s="4" t="str">
        <f>IF(ISTEXT('LAA OCEN'!G13)= TRUE, IF(CONCATENATE('LAA OCEN'!G13, 'LAA OCEN'!H13, 'LAA OCEN'!I13) = "000", IF(CONCATENATE('LAA OCEN'!J13, 'LAA OCEN'!K13, 'LAA OCEN'!L13, 'LAA OCEN'!M13) = "0000", 0, "E"), "M"), "")</f>
        <v/>
      </c>
      <c r="I10" s="4" t="str">
        <f>IF(CONCATENATE(1,'LAA OCEN'!G13,'LAA OCEN'!H13,'LAA OCEN'!J13,'LAA OCEN'!K13,'LAA OCEN'!L13)="100000","OTROS",IF(CONCATENATE(1,'LAA OCEN'!G13,'LAA OCEN'!H13,'LAA OCEN'!J13,'LAA OCEN'!K13,'LAA OCEN'!L13)="110000","AB",IF(CONCATENATE(1,'LAA OCEN'!G13,'LAA OCEN'!H13,'LAA OCEN'!J13,'LAA OCEN'!K13,'LAA OCEN'!L13)="101000","CR",IF(CONCATENATE(1,'LAA OCEN'!G13,'LAA OCEN'!H13,'LAA OCEN'!J13,'LAA OCEN'!K13,'LAA OCEN'!L13)="100010","CR-ON",IF(CONCATENATE(1,'LAA OCEN'!G13,'LAA OCEN'!H13,'LAA OCEN'!J13,'LAA OCEN'!K13,'LAA OCEN'!L13)="100100","AB-OFF",IF(CONCATENATE(1,'LAA OCEN'!G13,'LAA OCEN'!H13,'LAA OCEN'!J13,'LAA OCEN'!K13,'LAA OCEN'!L13)="100101","AB-OFF-EX",""))))))</f>
        <v/>
      </c>
      <c r="J10" s="11"/>
      <c r="K10" s="4" t="str">
        <f>IF('LAA OCEN'!F13=0,"",'LAA OCEN'!F13)</f>
        <v/>
      </c>
      <c r="L10" s="11"/>
      <c r="M10" s="4" t="str">
        <f>IF(CONCATENATE(1,'LAA OCEN'!BE13,'LAA OCEN'!BF13,'LAA OCEN'!BH13,'LAA OCEN'!BI13,'LAA OCEN'!BJ13)="100000","OTROS",IF(CONCATENATE(1,'LAA OCEN'!BE13,'LAA OCEN'!BF13,'LAA OCEN'!BH13,'LAA OCEN'!BI13,'LAA OCEN'!BJ13)="110000","AB",IF(CONCATENATE(1,'LAA OCEN'!BE13,'LAA OCEN'!BF13,'LAA OCEN'!BH13,'LAA OCEN'!BI13,'LAA OCEN'!BJ13)="101000","CR",IF(CONCATENATE(1,'LAA OCEN'!BE13,'LAA OCEN'!BF13,'LAA OCEN'!BH13,'LAA OCEN'!BI13,'LAA OCEN'!BJ13)="100010","CR-ON",IF(CONCATENATE(1,'LAA OCEN'!BE13,'LAA OCEN'!BF13,'LAA OCEN'!BH13,'LAA OCEN'!BI13,'LAA OCEN'!BJ13)="100100","AB-OFF",IF(CONCATENATE(1,'LAA OCEN'!BE13,'LAA OCEN'!BF13,'LAA OCEN'!BH13,'LAA OCEN'!BI13,'LAA OCEN'!BJ13)="100101","AB-OFF-EX",""))))))</f>
        <v/>
      </c>
      <c r="N10" s="11"/>
      <c r="O10" s="4" t="str">
        <f>IF('LAA OCEN'!BC13=0,"",'LAA OCEN'!BC13)</f>
        <v/>
      </c>
      <c r="P10" s="11"/>
      <c r="Q10" s="5" t="str">
        <f>IF('LAA OCEN'!I13+'LAA OCEN'!N13=1, "X", "")</f>
        <v/>
      </c>
      <c r="R10" s="12"/>
      <c r="S10" s="5" t="str">
        <f>IF('LAA OCEN'!A13="T", "X", "")</f>
        <v/>
      </c>
      <c r="T10" s="4" t="str">
        <f t="shared" si="0"/>
        <v/>
      </c>
      <c r="U10" s="4" t="str">
        <f>IF(ISTEXT('LAA OCEN'!P13) = TRUE, 'LAA OCEN'!P13, "")</f>
        <v/>
      </c>
      <c r="V10" s="13"/>
    </row>
    <row r="11" spans="2:22" ht="15.75" thickBot="1">
      <c r="B11" s="6" t="str">
        <f>IF('LAA OCEN'!A14="T","N","")</f>
        <v/>
      </c>
      <c r="C11" s="14" t="str">
        <f>IF('LAA OCEN'!D14=0,"",'LAA OCEN'!D14)</f>
        <v/>
      </c>
      <c r="D11" s="15"/>
      <c r="E11" s="16" t="str">
        <f>IF('LAA OCEN'!E14=0,"",'LAA OCEN'!E14)</f>
        <v/>
      </c>
      <c r="F11" s="17"/>
      <c r="G11" s="8"/>
      <c r="H11" s="4" t="str">
        <f>IF(ISTEXT('LAA OCEN'!G14)= TRUE, IF(CONCATENATE('LAA OCEN'!G14, 'LAA OCEN'!H14, 'LAA OCEN'!I14) = "000", IF(CONCATENATE('LAA OCEN'!J14, 'LAA OCEN'!K14, 'LAA OCEN'!L14, 'LAA OCEN'!M14) = "0000", 0, "E"), "M"), "")</f>
        <v/>
      </c>
      <c r="I11" s="4" t="str">
        <f>IF(CONCATENATE(1,'LAA OCEN'!G14,'LAA OCEN'!H14,'LAA OCEN'!J14,'LAA OCEN'!K14,'LAA OCEN'!L14)="100000","OTROS",IF(CONCATENATE(1,'LAA OCEN'!G14,'LAA OCEN'!H14,'LAA OCEN'!J14,'LAA OCEN'!K14,'LAA OCEN'!L14)="110000","AB",IF(CONCATENATE(1,'LAA OCEN'!G14,'LAA OCEN'!H14,'LAA OCEN'!J14,'LAA OCEN'!K14,'LAA OCEN'!L14)="101000","CR",IF(CONCATENATE(1,'LAA OCEN'!G14,'LAA OCEN'!H14,'LAA OCEN'!J14,'LAA OCEN'!K14,'LAA OCEN'!L14)="100010","CR-ON",IF(CONCATENATE(1,'LAA OCEN'!G14,'LAA OCEN'!H14,'LAA OCEN'!J14,'LAA OCEN'!K14,'LAA OCEN'!L14)="100100","AB-OFF",IF(CONCATENATE(1,'LAA OCEN'!G14,'LAA OCEN'!H14,'LAA OCEN'!J14,'LAA OCEN'!K14,'LAA OCEN'!L14)="100101","AB-OFF-EX",""))))))</f>
        <v/>
      </c>
      <c r="J11" s="11"/>
      <c r="K11" s="4" t="str">
        <f>IF('LAA OCEN'!F14=0,"",'LAA OCEN'!F14)</f>
        <v/>
      </c>
      <c r="L11" s="11"/>
      <c r="M11" s="4" t="str">
        <f>IF(CONCATENATE(1,'LAA OCEN'!BE14,'LAA OCEN'!BF14,'LAA OCEN'!BH14,'LAA OCEN'!BI14,'LAA OCEN'!BJ14)="100000","OTROS",IF(CONCATENATE(1,'LAA OCEN'!BE14,'LAA OCEN'!BF14,'LAA OCEN'!BH14,'LAA OCEN'!BI14,'LAA OCEN'!BJ14)="110000","AB",IF(CONCATENATE(1,'LAA OCEN'!BE14,'LAA OCEN'!BF14,'LAA OCEN'!BH14,'LAA OCEN'!BI14,'LAA OCEN'!BJ14)="101000","CR",IF(CONCATENATE(1,'LAA OCEN'!BE14,'LAA OCEN'!BF14,'LAA OCEN'!BH14,'LAA OCEN'!BI14,'LAA OCEN'!BJ14)="100010","CR-ON",IF(CONCATENATE(1,'LAA OCEN'!BE14,'LAA OCEN'!BF14,'LAA OCEN'!BH14,'LAA OCEN'!BI14,'LAA OCEN'!BJ14)="100100","AB-OFF",IF(CONCATENATE(1,'LAA OCEN'!BE14,'LAA OCEN'!BF14,'LAA OCEN'!BH14,'LAA OCEN'!BI14,'LAA OCEN'!BJ14)="100101","AB-OFF-EX",""))))))</f>
        <v/>
      </c>
      <c r="N11" s="11"/>
      <c r="O11" s="4" t="str">
        <f>IF('LAA OCEN'!BC14=0,"",'LAA OCEN'!BC14)</f>
        <v/>
      </c>
      <c r="P11" s="11"/>
      <c r="Q11" s="5" t="str">
        <f>IF('LAA OCEN'!I14+'LAA OCEN'!N14=1, "X", "")</f>
        <v/>
      </c>
      <c r="R11" s="12"/>
      <c r="S11" s="5" t="str">
        <f>IF('LAA OCEN'!A14="T", "X", "")</f>
        <v/>
      </c>
      <c r="T11" s="4" t="str">
        <f t="shared" si="0"/>
        <v/>
      </c>
      <c r="U11" s="4" t="str">
        <f>IF(ISTEXT('LAA OCEN'!P14) = TRUE, 'LAA OCEN'!P14, "")</f>
        <v/>
      </c>
      <c r="V11" s="9"/>
    </row>
    <row r="12" spans="2:22" ht="15.75" thickBot="1">
      <c r="B12" s="6" t="str">
        <f>IF('LAA OCEN'!A15="T","N","")</f>
        <v/>
      </c>
      <c r="C12" s="14" t="str">
        <f>IF('LAA OCEN'!D15=0,"",'LAA OCEN'!D15)</f>
        <v/>
      </c>
      <c r="D12" s="15"/>
      <c r="E12" s="16" t="str">
        <f>IF('LAA OCEN'!E15=0,"",'LAA OCEN'!E15)</f>
        <v/>
      </c>
      <c r="F12" s="17"/>
      <c r="G12" s="8"/>
      <c r="H12" s="4" t="str">
        <f>IF(ISTEXT('LAA OCEN'!G15)= TRUE, IF(CONCATENATE('LAA OCEN'!G15, 'LAA OCEN'!H15, 'LAA OCEN'!I15) = "000", IF(CONCATENATE('LAA OCEN'!J15, 'LAA OCEN'!K15, 'LAA OCEN'!L15, 'LAA OCEN'!M15) = "0000", 0, "E"), "M"), "")</f>
        <v/>
      </c>
      <c r="I12" s="4" t="str">
        <f>IF(CONCATENATE(1,'LAA OCEN'!G15,'LAA OCEN'!H15,'LAA OCEN'!J15,'LAA OCEN'!K15,'LAA OCEN'!L15)="100000","OTROS",IF(CONCATENATE(1,'LAA OCEN'!G15,'LAA OCEN'!H15,'LAA OCEN'!J15,'LAA OCEN'!K15,'LAA OCEN'!L15)="110000","AB",IF(CONCATENATE(1,'LAA OCEN'!G15,'LAA OCEN'!H15,'LAA OCEN'!J15,'LAA OCEN'!K15,'LAA OCEN'!L15)="101000","CR",IF(CONCATENATE(1,'LAA OCEN'!G15,'LAA OCEN'!H15,'LAA OCEN'!J15,'LAA OCEN'!K15,'LAA OCEN'!L15)="100010","CR-ON",IF(CONCATENATE(1,'LAA OCEN'!G15,'LAA OCEN'!H15,'LAA OCEN'!J15,'LAA OCEN'!K15,'LAA OCEN'!L15)="100100","AB-OFF",IF(CONCATENATE(1,'LAA OCEN'!G15,'LAA OCEN'!H15,'LAA OCEN'!J15,'LAA OCEN'!K15,'LAA OCEN'!L15)="100101","AB-OFF-EX",""))))))</f>
        <v/>
      </c>
      <c r="J12" s="11"/>
      <c r="K12" s="4" t="str">
        <f>IF('LAA OCEN'!F15=0,"",'LAA OCEN'!F15)</f>
        <v/>
      </c>
      <c r="L12" s="11"/>
      <c r="M12" s="4" t="str">
        <f>IF(CONCATENATE(1,'LAA OCEN'!BE15,'LAA OCEN'!BF15,'LAA OCEN'!BH15,'LAA OCEN'!BI15,'LAA OCEN'!BJ15)="100000","OTROS",IF(CONCATENATE(1,'LAA OCEN'!BE15,'LAA OCEN'!BF15,'LAA OCEN'!BH15,'LAA OCEN'!BI15,'LAA OCEN'!BJ15)="110000","AB",IF(CONCATENATE(1,'LAA OCEN'!BE15,'LAA OCEN'!BF15,'LAA OCEN'!BH15,'LAA OCEN'!BI15,'LAA OCEN'!BJ15)="101000","CR",IF(CONCATENATE(1,'LAA OCEN'!BE15,'LAA OCEN'!BF15,'LAA OCEN'!BH15,'LAA OCEN'!BI15,'LAA OCEN'!BJ15)="100010","CR-ON",IF(CONCATENATE(1,'LAA OCEN'!BE15,'LAA OCEN'!BF15,'LAA OCEN'!BH15,'LAA OCEN'!BI15,'LAA OCEN'!BJ15)="100100","AB-OFF",IF(CONCATENATE(1,'LAA OCEN'!BE15,'LAA OCEN'!BF15,'LAA OCEN'!BH15,'LAA OCEN'!BI15,'LAA OCEN'!BJ15)="100101","AB-OFF-EX",""))))))</f>
        <v/>
      </c>
      <c r="N12" s="11"/>
      <c r="O12" s="4" t="str">
        <f>IF('LAA OCEN'!BC15=0,"",'LAA OCEN'!BC15)</f>
        <v/>
      </c>
      <c r="P12" s="11"/>
      <c r="Q12" s="5" t="str">
        <f>IF('LAA OCEN'!I15+'LAA OCEN'!N15=1, "X", "")</f>
        <v/>
      </c>
      <c r="R12" s="12"/>
      <c r="S12" s="5" t="str">
        <f>IF('LAA OCEN'!A15="T", "X", "")</f>
        <v/>
      </c>
      <c r="T12" s="4" t="str">
        <f t="shared" si="0"/>
        <v/>
      </c>
      <c r="U12" s="4" t="str">
        <f>IF(ISTEXT('LAA OCEN'!P15) = TRUE, 'LAA OCEN'!P15, "")</f>
        <v/>
      </c>
      <c r="V12" s="9"/>
    </row>
    <row r="13" spans="2:22" ht="15.75" thickBot="1">
      <c r="B13" s="6" t="str">
        <f>IF('LAA OCEN'!A16="T","N","")</f>
        <v/>
      </c>
      <c r="C13" s="14" t="str">
        <f>IF('LAA OCEN'!D16=0,"",'LAA OCEN'!D16)</f>
        <v/>
      </c>
      <c r="D13" s="15"/>
      <c r="E13" s="16" t="str">
        <f>IF('LAA OCEN'!E16=0,"",'LAA OCEN'!E16)</f>
        <v/>
      </c>
      <c r="F13" s="17"/>
      <c r="G13" s="8"/>
      <c r="H13" s="4" t="str">
        <f>IF(ISTEXT('LAA OCEN'!G16)= TRUE, IF(CONCATENATE('LAA OCEN'!G16, 'LAA OCEN'!H16, 'LAA OCEN'!I16) = "000", IF(CONCATENATE('LAA OCEN'!J16, 'LAA OCEN'!K16, 'LAA OCEN'!L16, 'LAA OCEN'!M16) = "0000", 0, "E"), "M"), "")</f>
        <v/>
      </c>
      <c r="I13" s="4" t="str">
        <f>IF(CONCATENATE(1,'LAA OCEN'!G16,'LAA OCEN'!H16,'LAA OCEN'!J16,'LAA OCEN'!K16,'LAA OCEN'!L16)="100000","OTROS",IF(CONCATENATE(1,'LAA OCEN'!G16,'LAA OCEN'!H16,'LAA OCEN'!J16,'LAA OCEN'!K16,'LAA OCEN'!L16)="110000","AB",IF(CONCATENATE(1,'LAA OCEN'!G16,'LAA OCEN'!H16,'LAA OCEN'!J16,'LAA OCEN'!K16,'LAA OCEN'!L16)="101000","CR",IF(CONCATENATE(1,'LAA OCEN'!G16,'LAA OCEN'!H16,'LAA OCEN'!J16,'LAA OCEN'!K16,'LAA OCEN'!L16)="100010","CR-ON",IF(CONCATENATE(1,'LAA OCEN'!G16,'LAA OCEN'!H16,'LAA OCEN'!J16,'LAA OCEN'!K16,'LAA OCEN'!L16)="100100","AB-OFF",IF(CONCATENATE(1,'LAA OCEN'!G16,'LAA OCEN'!H16,'LAA OCEN'!J16,'LAA OCEN'!K16,'LAA OCEN'!L16)="100101","AB-OFF-EX",""))))))</f>
        <v/>
      </c>
      <c r="J13" s="11"/>
      <c r="K13" s="4" t="str">
        <f>IF('LAA OCEN'!F16=0,"",'LAA OCEN'!F16)</f>
        <v/>
      </c>
      <c r="L13" s="11"/>
      <c r="M13" s="4" t="str">
        <f>IF(CONCATENATE(1,'LAA OCEN'!BE16,'LAA OCEN'!BF16,'LAA OCEN'!BH16,'LAA OCEN'!BI16,'LAA OCEN'!BJ16)="100000","OTROS",IF(CONCATENATE(1,'LAA OCEN'!BE16,'LAA OCEN'!BF16,'LAA OCEN'!BH16,'LAA OCEN'!BI16,'LAA OCEN'!BJ16)="110000","AB",IF(CONCATENATE(1,'LAA OCEN'!BE16,'LAA OCEN'!BF16,'LAA OCEN'!BH16,'LAA OCEN'!BI16,'LAA OCEN'!BJ16)="101000","CR",IF(CONCATENATE(1,'LAA OCEN'!BE16,'LAA OCEN'!BF16,'LAA OCEN'!BH16,'LAA OCEN'!BI16,'LAA OCEN'!BJ16)="100010","CR-ON",IF(CONCATENATE(1,'LAA OCEN'!BE16,'LAA OCEN'!BF16,'LAA OCEN'!BH16,'LAA OCEN'!BI16,'LAA OCEN'!BJ16)="100100","AB-OFF",IF(CONCATENATE(1,'LAA OCEN'!BE16,'LAA OCEN'!BF16,'LAA OCEN'!BH16,'LAA OCEN'!BI16,'LAA OCEN'!BJ16)="100101","AB-OFF-EX",""))))))</f>
        <v/>
      </c>
      <c r="N13" s="11"/>
      <c r="O13" s="4" t="str">
        <f>IF('LAA OCEN'!BC16=0,"",'LAA OCEN'!BC16)</f>
        <v/>
      </c>
      <c r="P13" s="11"/>
      <c r="Q13" s="5" t="str">
        <f>IF('LAA OCEN'!I16+'LAA OCEN'!N16=1, "X", "")</f>
        <v/>
      </c>
      <c r="R13" s="12"/>
      <c r="S13" s="5" t="str">
        <f>IF('LAA OCEN'!A16="T", "X", "")</f>
        <v/>
      </c>
      <c r="T13" s="4" t="str">
        <f t="shared" si="0"/>
        <v/>
      </c>
      <c r="U13" s="4" t="str">
        <f>IF(ISTEXT('LAA OCEN'!P16) = TRUE, 'LAA OCEN'!P16, "")</f>
        <v/>
      </c>
      <c r="V13" s="9"/>
    </row>
    <row r="14" spans="2:22" ht="15.75" thickBot="1">
      <c r="B14" s="6" t="str">
        <f>IF('LAA OCEN'!A17="T","N","")</f>
        <v/>
      </c>
      <c r="C14" s="14" t="str">
        <f>IF('LAA OCEN'!D17=0,"",'LAA OCEN'!D17)</f>
        <v/>
      </c>
      <c r="D14" s="15"/>
      <c r="E14" s="16" t="str">
        <f>IF('LAA OCEN'!E17=0,"",'LAA OCEN'!E17)</f>
        <v/>
      </c>
      <c r="F14" s="17"/>
      <c r="G14" s="8"/>
      <c r="H14" s="4" t="str">
        <f>IF(ISTEXT('LAA OCEN'!G17)= TRUE, IF(CONCATENATE('LAA OCEN'!G17, 'LAA OCEN'!H17, 'LAA OCEN'!I17) = "000", IF(CONCATENATE('LAA OCEN'!J17, 'LAA OCEN'!K17, 'LAA OCEN'!L17, 'LAA OCEN'!M17) = "0000", 0, "E"), "M"), "")</f>
        <v/>
      </c>
      <c r="I14" s="4" t="str">
        <f>IF(CONCATENATE(1,'LAA OCEN'!G17,'LAA OCEN'!H17,'LAA OCEN'!J17,'LAA OCEN'!K17,'LAA OCEN'!L17)="100000","OTROS",IF(CONCATENATE(1,'LAA OCEN'!G17,'LAA OCEN'!H17,'LAA OCEN'!J17,'LAA OCEN'!K17,'LAA OCEN'!L17)="110000","AB",IF(CONCATENATE(1,'LAA OCEN'!G17,'LAA OCEN'!H17,'LAA OCEN'!J17,'LAA OCEN'!K17,'LAA OCEN'!L17)="101000","CR",IF(CONCATENATE(1,'LAA OCEN'!G17,'LAA OCEN'!H17,'LAA OCEN'!J17,'LAA OCEN'!K17,'LAA OCEN'!L17)="100010","CR-ON",IF(CONCATENATE(1,'LAA OCEN'!G17,'LAA OCEN'!H17,'LAA OCEN'!J17,'LAA OCEN'!K17,'LAA OCEN'!L17)="100100","AB-OFF",IF(CONCATENATE(1,'LAA OCEN'!G17,'LAA OCEN'!H17,'LAA OCEN'!J17,'LAA OCEN'!K17,'LAA OCEN'!L17)="100101","AB-OFF-EX",""))))))</f>
        <v/>
      </c>
      <c r="J14" s="11"/>
      <c r="K14" s="4" t="str">
        <f>IF('LAA OCEN'!F17=0,"",'LAA OCEN'!F17)</f>
        <v/>
      </c>
      <c r="L14" s="11"/>
      <c r="M14" s="4" t="str">
        <f>IF(CONCATENATE(1,'LAA OCEN'!BE17,'LAA OCEN'!BF17,'LAA OCEN'!BH17,'LAA OCEN'!BI17,'LAA OCEN'!BJ17)="100000","OTROS",IF(CONCATENATE(1,'LAA OCEN'!BE17,'LAA OCEN'!BF17,'LAA OCEN'!BH17,'LAA OCEN'!BI17,'LAA OCEN'!BJ17)="110000","AB",IF(CONCATENATE(1,'LAA OCEN'!BE17,'LAA OCEN'!BF17,'LAA OCEN'!BH17,'LAA OCEN'!BI17,'LAA OCEN'!BJ17)="101000","CR",IF(CONCATENATE(1,'LAA OCEN'!BE17,'LAA OCEN'!BF17,'LAA OCEN'!BH17,'LAA OCEN'!BI17,'LAA OCEN'!BJ17)="100010","CR-ON",IF(CONCATENATE(1,'LAA OCEN'!BE17,'LAA OCEN'!BF17,'LAA OCEN'!BH17,'LAA OCEN'!BI17,'LAA OCEN'!BJ17)="100100","AB-OFF",IF(CONCATENATE(1,'LAA OCEN'!BE17,'LAA OCEN'!BF17,'LAA OCEN'!BH17,'LAA OCEN'!BI17,'LAA OCEN'!BJ17)="100101","AB-OFF-EX",""))))))</f>
        <v/>
      </c>
      <c r="N14" s="11"/>
      <c r="O14" s="4" t="str">
        <f>IF('LAA OCEN'!BC17=0,"",'LAA OCEN'!BC17)</f>
        <v/>
      </c>
      <c r="P14" s="11"/>
      <c r="Q14" s="5" t="str">
        <f>IF('LAA OCEN'!I17+'LAA OCEN'!N17=1, "X", "")</f>
        <v/>
      </c>
      <c r="R14" s="12"/>
      <c r="S14" s="5" t="str">
        <f>IF('LAA OCEN'!A17="T", "X", "")</f>
        <v/>
      </c>
      <c r="T14" s="4" t="str">
        <f t="shared" si="0"/>
        <v/>
      </c>
      <c r="U14" s="4" t="str">
        <f>IF(ISTEXT('LAA OCEN'!P17) = TRUE, 'LAA OCEN'!P17, "")</f>
        <v/>
      </c>
      <c r="V14" s="13"/>
    </row>
    <row r="15" spans="2:22" ht="15.75" thickBot="1">
      <c r="B15" s="6" t="str">
        <f>IF('LAA OCEN'!A18="T","N","")</f>
        <v/>
      </c>
      <c r="C15" s="14" t="str">
        <f>IF('LAA OCEN'!D18=0,"",'LAA OCEN'!D18)</f>
        <v/>
      </c>
      <c r="D15" s="15"/>
      <c r="E15" s="16" t="str">
        <f>IF('LAA OCEN'!E18=0,"",'LAA OCEN'!E18)</f>
        <v/>
      </c>
      <c r="F15" s="17"/>
      <c r="G15" s="8"/>
      <c r="H15" s="4" t="str">
        <f>IF(ISTEXT('LAA OCEN'!G18)= TRUE, IF(CONCATENATE('LAA OCEN'!G18, 'LAA OCEN'!H18, 'LAA OCEN'!I18) = "000", IF(CONCATENATE('LAA OCEN'!J18, 'LAA OCEN'!K18, 'LAA OCEN'!L18, 'LAA OCEN'!M18) = "0000", 0, "E"), "M"), "")</f>
        <v/>
      </c>
      <c r="I15" s="4" t="str">
        <f>IF(CONCATENATE(1,'LAA OCEN'!G18,'LAA OCEN'!H18,'LAA OCEN'!J18,'LAA OCEN'!K18,'LAA OCEN'!L18)="100000","OTROS",IF(CONCATENATE(1,'LAA OCEN'!G18,'LAA OCEN'!H18,'LAA OCEN'!J18,'LAA OCEN'!K18,'LAA OCEN'!L18)="110000","AB",IF(CONCATENATE(1,'LAA OCEN'!G18,'LAA OCEN'!H18,'LAA OCEN'!J18,'LAA OCEN'!K18,'LAA OCEN'!L18)="101000","CR",IF(CONCATENATE(1,'LAA OCEN'!G18,'LAA OCEN'!H18,'LAA OCEN'!J18,'LAA OCEN'!K18,'LAA OCEN'!L18)="100010","CR-ON",IF(CONCATENATE(1,'LAA OCEN'!G18,'LAA OCEN'!H18,'LAA OCEN'!J18,'LAA OCEN'!K18,'LAA OCEN'!L18)="100100","AB-OFF",IF(CONCATENATE(1,'LAA OCEN'!G18,'LAA OCEN'!H18,'LAA OCEN'!J18,'LAA OCEN'!K18,'LAA OCEN'!L18)="100101","AB-OFF-EX",""))))))</f>
        <v/>
      </c>
      <c r="J15" s="11"/>
      <c r="K15" s="4" t="str">
        <f>IF('LAA OCEN'!F18=0,"",'LAA OCEN'!F18)</f>
        <v/>
      </c>
      <c r="L15" s="11"/>
      <c r="M15" s="4" t="str">
        <f>IF(CONCATENATE(1,'LAA OCEN'!BE18,'LAA OCEN'!BF18,'LAA OCEN'!BH18,'LAA OCEN'!BI18,'LAA OCEN'!BJ18)="100000","OTROS",IF(CONCATENATE(1,'LAA OCEN'!BE18,'LAA OCEN'!BF18,'LAA OCEN'!BH18,'LAA OCEN'!BI18,'LAA OCEN'!BJ18)="110000","AB",IF(CONCATENATE(1,'LAA OCEN'!BE18,'LAA OCEN'!BF18,'LAA OCEN'!BH18,'LAA OCEN'!BI18,'LAA OCEN'!BJ18)="101000","CR",IF(CONCATENATE(1,'LAA OCEN'!BE18,'LAA OCEN'!BF18,'LAA OCEN'!BH18,'LAA OCEN'!BI18,'LAA OCEN'!BJ18)="100010","CR-ON",IF(CONCATENATE(1,'LAA OCEN'!BE18,'LAA OCEN'!BF18,'LAA OCEN'!BH18,'LAA OCEN'!BI18,'LAA OCEN'!BJ18)="100100","AB-OFF",IF(CONCATENATE(1,'LAA OCEN'!BE18,'LAA OCEN'!BF18,'LAA OCEN'!BH18,'LAA OCEN'!BI18,'LAA OCEN'!BJ18)="100101","AB-OFF-EX",""))))))</f>
        <v/>
      </c>
      <c r="N15" s="11"/>
      <c r="O15" s="4" t="str">
        <f>IF('LAA OCEN'!BC18=0,"",'LAA OCEN'!BC18)</f>
        <v/>
      </c>
      <c r="P15" s="11"/>
      <c r="Q15" s="5" t="str">
        <f>IF('LAA OCEN'!I18+'LAA OCEN'!N18=1, "X", "")</f>
        <v/>
      </c>
      <c r="R15" s="12"/>
      <c r="S15" s="5" t="str">
        <f>IF('LAA OCEN'!A18="T", "X", "")</f>
        <v/>
      </c>
      <c r="T15" s="4" t="str">
        <f t="shared" si="0"/>
        <v/>
      </c>
      <c r="U15" s="4" t="str">
        <f>IF(ISTEXT('LAA OCEN'!P18) = TRUE, 'LAA OCEN'!P18, "")</f>
        <v/>
      </c>
      <c r="V15" s="9"/>
    </row>
    <row r="16" spans="2:22" ht="15.75" thickBot="1">
      <c r="B16" s="6" t="str">
        <f>IF('LAA OCEN'!A19="T","N","")</f>
        <v/>
      </c>
      <c r="C16" s="14" t="str">
        <f>IF('LAA OCEN'!D19=0,"",'LAA OCEN'!D19)</f>
        <v/>
      </c>
      <c r="D16" s="15"/>
      <c r="E16" s="16" t="str">
        <f>IF('LAA OCEN'!E19=0,"",'LAA OCEN'!E19)</f>
        <v/>
      </c>
      <c r="F16" s="17"/>
      <c r="G16" s="8"/>
      <c r="H16" s="4" t="str">
        <f>IF(ISTEXT('LAA OCEN'!G19)= TRUE, IF(CONCATENATE('LAA OCEN'!G19, 'LAA OCEN'!H19, 'LAA OCEN'!I19) = "000", IF(CONCATENATE('LAA OCEN'!J19, 'LAA OCEN'!K19, 'LAA OCEN'!L19, 'LAA OCEN'!M19) = "0000", 0, "E"), "M"), "")</f>
        <v/>
      </c>
      <c r="I16" s="4" t="str">
        <f>IF(CONCATENATE(1,'LAA OCEN'!G19,'LAA OCEN'!H19,'LAA OCEN'!J19,'LAA OCEN'!K19,'LAA OCEN'!L19)="100000","OTROS",IF(CONCATENATE(1,'LAA OCEN'!G19,'LAA OCEN'!H19,'LAA OCEN'!J19,'LAA OCEN'!K19,'LAA OCEN'!L19)="110000","AB",IF(CONCATENATE(1,'LAA OCEN'!G19,'LAA OCEN'!H19,'LAA OCEN'!J19,'LAA OCEN'!K19,'LAA OCEN'!L19)="101000","CR",IF(CONCATENATE(1,'LAA OCEN'!G19,'LAA OCEN'!H19,'LAA OCEN'!J19,'LAA OCEN'!K19,'LAA OCEN'!L19)="100010","CR-ON",IF(CONCATENATE(1,'LAA OCEN'!G19,'LAA OCEN'!H19,'LAA OCEN'!J19,'LAA OCEN'!K19,'LAA OCEN'!L19)="100100","AB-OFF",IF(CONCATENATE(1,'LAA OCEN'!G19,'LAA OCEN'!H19,'LAA OCEN'!J19,'LAA OCEN'!K19,'LAA OCEN'!L19)="100101","AB-OFF-EX",""))))))</f>
        <v/>
      </c>
      <c r="J16" s="11"/>
      <c r="K16" s="4" t="str">
        <f>IF('LAA OCEN'!F19=0,"",'LAA OCEN'!F19)</f>
        <v/>
      </c>
      <c r="L16" s="11"/>
      <c r="M16" s="4" t="str">
        <f>IF(CONCATENATE(1,'LAA OCEN'!BE19,'LAA OCEN'!BF19,'LAA OCEN'!BH19,'LAA OCEN'!BI19,'LAA OCEN'!BJ19)="100000","OTROS",IF(CONCATENATE(1,'LAA OCEN'!BE19,'LAA OCEN'!BF19,'LAA OCEN'!BH19,'LAA OCEN'!BI19,'LAA OCEN'!BJ19)="110000","AB",IF(CONCATENATE(1,'LAA OCEN'!BE19,'LAA OCEN'!BF19,'LAA OCEN'!BH19,'LAA OCEN'!BI19,'LAA OCEN'!BJ19)="101000","CR",IF(CONCATENATE(1,'LAA OCEN'!BE19,'LAA OCEN'!BF19,'LAA OCEN'!BH19,'LAA OCEN'!BI19,'LAA OCEN'!BJ19)="100010","CR-ON",IF(CONCATENATE(1,'LAA OCEN'!BE19,'LAA OCEN'!BF19,'LAA OCEN'!BH19,'LAA OCEN'!BI19,'LAA OCEN'!BJ19)="100100","AB-OFF",IF(CONCATENATE(1,'LAA OCEN'!BE19,'LAA OCEN'!BF19,'LAA OCEN'!BH19,'LAA OCEN'!BI19,'LAA OCEN'!BJ19)="100101","AB-OFF-EX",""))))))</f>
        <v/>
      </c>
      <c r="N16" s="11"/>
      <c r="O16" s="4" t="str">
        <f>IF('LAA OCEN'!BC19=0,"",'LAA OCEN'!BC19)</f>
        <v/>
      </c>
      <c r="P16" s="11"/>
      <c r="Q16" s="5" t="str">
        <f>IF('LAA OCEN'!I19+'LAA OCEN'!N19=1, "X", "")</f>
        <v/>
      </c>
      <c r="R16" s="12"/>
      <c r="S16" s="5" t="str">
        <f>IF('LAA OCEN'!A19="T", "X", "")</f>
        <v/>
      </c>
      <c r="T16" s="4" t="str">
        <f t="shared" si="0"/>
        <v/>
      </c>
      <c r="U16" s="4" t="str">
        <f>IF(ISTEXT('LAA OCEN'!P19) = TRUE, 'LAA OCEN'!P19, "")</f>
        <v/>
      </c>
      <c r="V16" s="9"/>
    </row>
    <row r="17" spans="2:22" ht="15.75" thickBot="1">
      <c r="B17" s="6" t="str">
        <f>IF('LAA OCEN'!A20="T","N","")</f>
        <v/>
      </c>
      <c r="C17" s="14" t="str">
        <f>IF('LAA OCEN'!D20=0,"",'LAA OCEN'!D20)</f>
        <v/>
      </c>
      <c r="D17" s="15"/>
      <c r="E17" s="16" t="str">
        <f>IF('LAA OCEN'!E20=0,"",'LAA OCEN'!E20)</f>
        <v/>
      </c>
      <c r="F17" s="17"/>
      <c r="G17" s="8"/>
      <c r="H17" s="4" t="str">
        <f>IF(ISTEXT('LAA OCEN'!G20)= TRUE, IF(CONCATENATE('LAA OCEN'!G20, 'LAA OCEN'!H20, 'LAA OCEN'!I20) = "000", IF(CONCATENATE('LAA OCEN'!J20, 'LAA OCEN'!K20, 'LAA OCEN'!L20, 'LAA OCEN'!M20) = "0000", 0, "E"), "M"), "")</f>
        <v/>
      </c>
      <c r="I17" s="4" t="str">
        <f>IF(CONCATENATE(1,'LAA OCEN'!G20,'LAA OCEN'!H20,'LAA OCEN'!J20,'LAA OCEN'!K20,'LAA OCEN'!L20)="100000","OTROS",IF(CONCATENATE(1,'LAA OCEN'!G20,'LAA OCEN'!H20,'LAA OCEN'!J20,'LAA OCEN'!K20,'LAA OCEN'!L20)="110000","AB",IF(CONCATENATE(1,'LAA OCEN'!G20,'LAA OCEN'!H20,'LAA OCEN'!J20,'LAA OCEN'!K20,'LAA OCEN'!L20)="101000","CR",IF(CONCATENATE(1,'LAA OCEN'!G20,'LAA OCEN'!H20,'LAA OCEN'!J20,'LAA OCEN'!K20,'LAA OCEN'!L20)="100010","CR-ON",IF(CONCATENATE(1,'LAA OCEN'!G20,'LAA OCEN'!H20,'LAA OCEN'!J20,'LAA OCEN'!K20,'LAA OCEN'!L20)="100100","AB-OFF",IF(CONCATENATE(1,'LAA OCEN'!G20,'LAA OCEN'!H20,'LAA OCEN'!J20,'LAA OCEN'!K20,'LAA OCEN'!L20)="100101","AB-OFF-EX",""))))))</f>
        <v/>
      </c>
      <c r="J17" s="11"/>
      <c r="K17" s="4" t="str">
        <f>IF('LAA OCEN'!F20=0,"",'LAA OCEN'!F20)</f>
        <v/>
      </c>
      <c r="L17" s="11"/>
      <c r="M17" s="4" t="str">
        <f>IF(CONCATENATE(1,'LAA OCEN'!BE20,'LAA OCEN'!BF20,'LAA OCEN'!BH20,'LAA OCEN'!BI20,'LAA OCEN'!BJ20)="100000","OTROS",IF(CONCATENATE(1,'LAA OCEN'!BE20,'LAA OCEN'!BF20,'LAA OCEN'!BH20,'LAA OCEN'!BI20,'LAA OCEN'!BJ20)="110000","AB",IF(CONCATENATE(1,'LAA OCEN'!BE20,'LAA OCEN'!BF20,'LAA OCEN'!BH20,'LAA OCEN'!BI20,'LAA OCEN'!BJ20)="101000","CR",IF(CONCATENATE(1,'LAA OCEN'!BE20,'LAA OCEN'!BF20,'LAA OCEN'!BH20,'LAA OCEN'!BI20,'LAA OCEN'!BJ20)="100010","CR-ON",IF(CONCATENATE(1,'LAA OCEN'!BE20,'LAA OCEN'!BF20,'LAA OCEN'!BH20,'LAA OCEN'!BI20,'LAA OCEN'!BJ20)="100100","AB-OFF",IF(CONCATENATE(1,'LAA OCEN'!BE20,'LAA OCEN'!BF20,'LAA OCEN'!BH20,'LAA OCEN'!BI20,'LAA OCEN'!BJ20)="100101","AB-OFF-EX",""))))))</f>
        <v/>
      </c>
      <c r="N17" s="11"/>
      <c r="O17" s="4" t="str">
        <f>IF('LAA OCEN'!BC20=0,"",'LAA OCEN'!BC20)</f>
        <v/>
      </c>
      <c r="P17" s="11"/>
      <c r="Q17" s="5" t="str">
        <f>IF('LAA OCEN'!I20+'LAA OCEN'!N20=1, "X", "")</f>
        <v/>
      </c>
      <c r="R17" s="12"/>
      <c r="S17" s="5" t="str">
        <f>IF('LAA OCEN'!A20="T", "X", "")</f>
        <v/>
      </c>
      <c r="T17" s="4" t="str">
        <f t="shared" si="0"/>
        <v/>
      </c>
      <c r="U17" s="4" t="str">
        <f>IF(ISTEXT('LAA OCEN'!P20) = TRUE, 'LAA OCEN'!P20, "")</f>
        <v/>
      </c>
      <c r="V17" s="9"/>
    </row>
  </sheetData>
  <mergeCells count="28">
    <mergeCell ref="C4:D4"/>
    <mergeCell ref="E4:F4"/>
    <mergeCell ref="C5:D5"/>
    <mergeCell ref="E5:F5"/>
    <mergeCell ref="C6:D6"/>
    <mergeCell ref="E6:F6"/>
    <mergeCell ref="C7:D7"/>
    <mergeCell ref="E7:F7"/>
    <mergeCell ref="C8:D8"/>
    <mergeCell ref="E8:F8"/>
    <mergeCell ref="C9:D9"/>
    <mergeCell ref="E9:F9"/>
    <mergeCell ref="C10:D10"/>
    <mergeCell ref="E10:F10"/>
    <mergeCell ref="C11:D11"/>
    <mergeCell ref="E11:F11"/>
    <mergeCell ref="C12:D12"/>
    <mergeCell ref="E12:F12"/>
    <mergeCell ref="C13:D13"/>
    <mergeCell ref="E13:F13"/>
    <mergeCell ref="C14:D14"/>
    <mergeCell ref="E14:F14"/>
    <mergeCell ref="C15:D15"/>
    <mergeCell ref="E15:F15"/>
    <mergeCell ref="C16:D16"/>
    <mergeCell ref="E16:F16"/>
    <mergeCell ref="C17:D17"/>
    <mergeCell ref="E17:F17"/>
  </mergeCells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5333BE-452C-462D-8291-7831FB4A0C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LAA OCEN</vt:lpstr>
      <vt:lpstr>Conversión gadea</vt:lpstr>
    </vt:vector>
  </TitlesOfParts>
  <Company>Naturgy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Colectivo de Jefes de Turno, Usuario</dc:creator>
  <cp:lastModifiedBy>Colectivo de Jefes de Turno, Usuario</cp:lastModifiedBy>
  <dcterms:created xsi:type="dcterms:W3CDTF">2023-01-15T02:08:55Z</dcterms:created>
  <dcterms:modified xsi:type="dcterms:W3CDTF">2024-10-16T00:14:12Z</dcterms:modified>
</cp:coreProperties>
</file>